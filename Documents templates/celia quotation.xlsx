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p 2023\Fahmy University\Multi systems system\Documents templates\"/>
    </mc:Choice>
  </mc:AlternateContent>
  <xr:revisionPtr revIDLastSave="0" documentId="8_{38CDF852-99D1-46BB-935B-9CC9D8FA48E3}" xr6:coauthVersionLast="47" xr6:coauthVersionMax="47" xr10:uidLastSave="{00000000-0000-0000-0000-000000000000}"/>
  <bookViews>
    <workbookView xWindow="-108" yWindow="-108" windowWidth="23256" windowHeight="12456" xr2:uid="{789CF412-E43A-4512-A796-E6B79B973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17" i="1" s="1"/>
</calcChain>
</file>

<file path=xl/sharedStrings.xml><?xml version="1.0" encoding="utf-8"?>
<sst xmlns="http://schemas.openxmlformats.org/spreadsheetml/2006/main" count="49" uniqueCount="43">
  <si>
    <t>شركة مالتي سيستيمز للهندسة والتجارة</t>
  </si>
  <si>
    <t>Multi Systems for Engineering &amp; Trading  |  أعمال المقاولات والتشطيبات المتكاملة  |  New Cairo, Egypt</t>
  </si>
  <si>
    <t>العميل :</t>
  </si>
  <si>
    <t>السيد الأستاذ / طارق صبحي</t>
  </si>
  <si>
    <t>المشروع:</t>
  </si>
  <si>
    <t>تشطيب فيلا سكنية – كمبوند سيليا</t>
  </si>
  <si>
    <t>الموقع:</t>
  </si>
  <si>
    <t>سيليا – العاصمة الإدارية الجديدة</t>
  </si>
  <si>
    <t>التاريخ:</t>
  </si>
  <si>
    <t>12 / 09 / 2025</t>
  </si>
  <si>
    <t>عـرض الأسعـار  —  المقايسة التقديرية لأعمال التشطيب</t>
  </si>
  <si>
    <t>م</t>
  </si>
  <si>
    <t>بيان الأعمال وتوصيف المواصفات</t>
  </si>
  <si>
    <t>الكمية</t>
  </si>
  <si>
    <t>الوحدة</t>
  </si>
  <si>
    <t>فئة السعر
(ج.م.)</t>
  </si>
  <si>
    <t>الإجمالي
(ج.م.)</t>
  </si>
  <si>
    <t>اعمال مصنعيات تعديلات السباكه للحمامات ( تعديل مخارج القواعد بجميع الحمامات - تعديل صندوق الطرد وخط صرف البيبه وتاسيس مخارج سخان بحمام الماستر - تاسيس شطافات خارجيه لجميع الحمامات - تعديل اماكن السخانات - فصل كل حمام على محبس منفصل - اصلاح التسريب بغرفه السطح وعمل بيبه صرف - مراجعه و اختبار الشبكه القائمه - اعاده عزل الحمامات بعد التعديلات واختبار العزل بجميع الحمامات ) شامل اعمال التكسير والترميم بعد التعديل</t>
  </si>
  <si>
    <t>مقطوعية</t>
  </si>
  <si>
    <t xml:space="preserve">توريد وتنفيذ مبانى من الطوب اسمنتى لتعديل حائط حمام الماستر شامل اعمال تكسير المحاره القديمه وتكسير شنايش الربط بالمبانى القديمه وتوريد وتركيب كانات ربط مع الاعمده الخرسانه و توريد وتركيب عتب خرسانه لتنفيذ خورنقات </t>
  </si>
  <si>
    <t xml:space="preserve">توريد وعمل بياض محاره اسمنتى سمك متوسط 2 سم  شامل طرطشه اسمنتيه بمحتوى اسمنتى لا يقل عن 450 كجم / م3  والبؤج قبل البياض شامل اضافه مواد مانعه لنفاذيه المياه لمونه البياض  لحائط حمام الماستر </t>
  </si>
  <si>
    <t>اعمال تركيب سيراميك ارضيات غرف النوم شامل خامات التركيب والسقيه من ماده تايل جراوت مقاوم للفطريات</t>
  </si>
  <si>
    <t>م²</t>
  </si>
  <si>
    <t>اعمال توريد مايلزم لتركيب بورسلين الحمامات والمطبخ شامل خامات التركيب والتشوينات والسقيه من ماده تايل جراوت مقاوم للفطريات خامات التركيب والتشطيب مستورده المانى او ايطالى</t>
  </si>
  <si>
    <t>اعمال توريد وتنفيذ معجون وشريط فايبر لمعالجه فواصل الاسقف الجبسيه المنفذه فى اماكن اللحامات والمرمات وتغيير الاجزاء التالفه والغير مستويه بالاسقف</t>
  </si>
  <si>
    <t>اعمال توريد وتركيب اسقف من الالواح الجبسيه مقاوم للرطوبه  كناوف سمك 12 ملم شامل الهيكل المعدنى من الصاج المجلفن المحمل  4 ملم  والتعليق بواسطه اتياش وتقفيل الفواصل بين الالواح بشريط الفايبر والمعجون شامل قطاع شادو جاب للحمامات</t>
  </si>
  <si>
    <t xml:space="preserve">الإجمالـــي العـــام </t>
  </si>
  <si>
    <t>💳  طريقة وجدول سداد الدفعات</t>
  </si>
  <si>
    <t>📋  الشروط والالتزامات العامة</t>
  </si>
  <si>
    <t>•  50%  دفعة مقدمة عند التعاقد وتجهيز الموقع</t>
  </si>
  <si>
    <t>•  صلاحية هذا العرض: 7 أيام من تاريخه.</t>
  </si>
  <si>
    <t>•  25%  دفعة تشوينات عند توريد الخامات الأساسية</t>
  </si>
  <si>
    <t>•  الكميات تقريبية والعبرة بما يُنفَّذ ويُقاس على الطبيعة.</t>
  </si>
  <si>
    <t>•  25%  بعد انتهاء كافة الأعمال والتسليم النهائي</t>
  </si>
  <si>
    <t>•  مدة التنفيذ: 60 يوم عمل (غير شاملة الإجازات الرسمية).</t>
  </si>
  <si>
    <t>•  التصاريح والموافقات من إدارة الكومبوند مسؤولية العميل.</t>
  </si>
  <si>
    <t>التوقيع والاعتماد</t>
  </si>
  <si>
    <t>الجهة المنفذة</t>
  </si>
  <si>
    <t>اعتماد وموافقة العميل</t>
  </si>
  <si>
    <t>شركة مالتي سيستيمز  —  م / محمد فهمي</t>
  </si>
  <si>
    <t>أ / طارق صبحي</t>
  </si>
  <si>
    <t>التوقيع: ________________________</t>
  </si>
  <si>
    <t xml:space="preserve"> المستثمرين الجنوبية – التجمع الخامس – القاهرة  |  هاتف: 01220218181  —  01220218183  |  Multi Systems Engineering &amp;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</si>
</sst>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ج.م.&quot;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8"/>
      <color rgb="FF0F172A"/>
      <name val="Quattrocento Sans"/>
    </font>
    <font>
      <b/>
      <sz val="17"/>
      <color rgb="FF0D4F80"/>
      <name val="Quattrocento Sans"/>
    </font>
    <font>
      <sz val="10"/>
      <name val="Calibri"/>
    </font>
    <font>
      <i/>
      <sz val="9"/>
      <color rgb="FF1A6DA8"/>
      <name val="Quattrocento Sans"/>
    </font>
    <font>
      <b/>
      <sz val="9"/>
      <color rgb="FF1A6DA8"/>
      <name val="Quattrocento Sans"/>
    </font>
    <font>
      <b/>
      <sz val="9"/>
      <color rgb="FF1A1A1A"/>
      <name val="Quattrocento Sans"/>
    </font>
    <font>
      <b/>
      <sz val="12"/>
      <color rgb="FFFFFFFF"/>
      <name val="Quattrocento Sans"/>
    </font>
    <font>
      <b/>
      <sz val="10"/>
      <color rgb="FFFFFFFF"/>
      <name val="Quattrocento Sans"/>
    </font>
    <font>
      <b/>
      <sz val="10"/>
      <color rgb="FF1A6DA8"/>
      <name val="Quattrocento Sans"/>
    </font>
    <font>
      <sz val="12"/>
      <color rgb="FF1A1A1A"/>
      <name val="Quattrocento Sans"/>
    </font>
    <font>
      <b/>
      <sz val="10"/>
      <color rgb="FF1A1A1A"/>
      <name val="Quattrocento Sans"/>
    </font>
    <font>
      <sz val="9"/>
      <color rgb="FF1A6DA8"/>
      <name val="Quattrocento Sans"/>
    </font>
    <font>
      <b/>
      <sz val="10"/>
      <color rgb="FF166534"/>
      <name val="Quattrocento Sans"/>
    </font>
    <font>
      <b/>
      <sz val="10"/>
      <color rgb="FF0D4F80"/>
      <name val="Quattrocento Sans"/>
    </font>
    <font>
      <sz val="10"/>
      <color theme="1"/>
      <name val="Aptos Narrow"/>
      <scheme val="minor"/>
    </font>
    <font>
      <b/>
      <sz val="11"/>
      <color rgb="FF0D4F80"/>
      <name val="Quattrocento Sans"/>
    </font>
    <font>
      <b/>
      <sz val="12"/>
      <color rgb="FF0D4F80"/>
      <name val="Quattrocento Sans"/>
    </font>
    <font>
      <sz val="9"/>
      <color rgb="FF1A1A1A"/>
      <name val="Quattrocento Sans"/>
    </font>
    <font>
      <sz val="9"/>
      <color rgb="FF0F172A"/>
      <name val="Quattrocento Sans"/>
    </font>
    <font>
      <b/>
      <sz val="9"/>
      <color rgb="FF1E293B"/>
      <name val="Quattrocento Sans"/>
    </font>
    <font>
      <b/>
      <sz val="10"/>
      <color rgb="FF0F172A"/>
      <name val="Quattrocento Sans"/>
    </font>
    <font>
      <i/>
      <sz val="9"/>
      <color rgb="FF64748B"/>
      <name val="Quattrocento Sans"/>
    </font>
    <font>
      <i/>
      <sz val="8"/>
      <color rgb="FF1A6DA8"/>
      <name val="Quattrocento Sans"/>
    </font>
  </fonts>
  <fills count="12">
    <fill>
      <patternFill patternType="none"/>
    </fill>
    <fill>
      <patternFill patternType="gray125"/>
    </fill>
    <fill>
      <patternFill patternType="solid">
        <fgColor rgb="FFB7953A"/>
        <bgColor rgb="FFB7953A"/>
      </patternFill>
    </fill>
    <fill>
      <patternFill patternType="solid">
        <fgColor rgb="FF0D4F80"/>
        <bgColor rgb="FF0D4F80"/>
      </patternFill>
    </fill>
    <fill>
      <patternFill patternType="solid">
        <fgColor rgb="FFFFFFFF"/>
        <bgColor rgb="FFFFFFFF"/>
      </patternFill>
    </fill>
    <fill>
      <patternFill patternType="solid">
        <fgColor rgb="FFE8F4FB"/>
        <bgColor rgb="FFE8F4FB"/>
      </patternFill>
    </fill>
    <fill>
      <patternFill patternType="solid">
        <fgColor rgb="FF1A6DA8"/>
        <bgColor rgb="FF1A6DA8"/>
      </patternFill>
    </fill>
    <fill>
      <patternFill patternType="solid">
        <fgColor rgb="FFD0E8F5"/>
        <bgColor rgb="FFD0E8F5"/>
      </patternFill>
    </fill>
    <fill>
      <patternFill patternType="solid">
        <fgColor rgb="FF40A0E0"/>
        <bgColor rgb="FF40A0E0"/>
      </patternFill>
    </fill>
    <fill>
      <patternFill patternType="solid">
        <fgColor rgb="FF2988C8"/>
        <bgColor rgb="FF2988C8"/>
      </patternFill>
    </fill>
    <fill>
      <patternFill patternType="solid">
        <fgColor rgb="FFFF0000"/>
        <bgColor rgb="FFFF0000"/>
      </patternFill>
    </fill>
    <fill>
      <patternFill patternType="solid">
        <fgColor rgb="FFE2E8F0"/>
        <bgColor rgb="FFE2E8F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8D4EA"/>
      </left>
      <right style="thin">
        <color rgb="FFB8D4EA"/>
      </right>
      <top style="thin">
        <color rgb="FFB8D4EA"/>
      </top>
      <bottom style="thin">
        <color rgb="FFB8D4EA"/>
      </bottom>
      <diagonal/>
    </border>
    <border>
      <left style="thin">
        <color rgb="FFB8D4EA"/>
      </left>
      <right/>
      <top style="thin">
        <color rgb="FFB8D4EA"/>
      </top>
      <bottom style="thin">
        <color rgb="FFB8D4EA"/>
      </bottom>
      <diagonal/>
    </border>
    <border>
      <left/>
      <right style="thin">
        <color rgb="FFB8D4EA"/>
      </right>
      <top style="thin">
        <color rgb="FFB8D4EA"/>
      </top>
      <bottom style="thin">
        <color rgb="FFB8D4EA"/>
      </bottom>
      <diagonal/>
    </border>
    <border>
      <left style="thin">
        <color rgb="FF40A0E0"/>
      </left>
      <right style="thin">
        <color rgb="FF40A0E0"/>
      </right>
      <top style="medium">
        <color rgb="FF40A0E0"/>
      </top>
      <bottom style="medium">
        <color rgb="FF40A0E0"/>
      </bottom>
      <diagonal/>
    </border>
    <border>
      <left style="medium">
        <color rgb="FF1A6DA8"/>
      </left>
      <right style="medium">
        <color rgb="FF1A6DA8"/>
      </right>
      <top style="thin">
        <color rgb="FF1A6DA8"/>
      </top>
      <bottom style="thin">
        <color rgb="FF1A6DA8"/>
      </bottom>
      <diagonal/>
    </border>
    <border>
      <left style="medium">
        <color rgb="FF1A6DA8"/>
      </left>
      <right/>
      <top style="medium">
        <color rgb="FF1A6DA8"/>
      </top>
      <bottom style="medium">
        <color rgb="FF1A6DA8"/>
      </bottom>
      <diagonal/>
    </border>
    <border>
      <left/>
      <right/>
      <top style="medium">
        <color rgb="FF1A6DA8"/>
      </top>
      <bottom style="medium">
        <color rgb="FF1A6DA8"/>
      </bottom>
      <diagonal/>
    </border>
    <border>
      <left/>
      <right style="medium">
        <color rgb="FF1A6DA8"/>
      </right>
      <top style="medium">
        <color rgb="FF1A6DA8"/>
      </top>
      <bottom style="medium">
        <color rgb="FF1A6DA8"/>
      </bottom>
      <diagonal/>
    </border>
    <border>
      <left style="medium">
        <color rgb="FF1A6DA8"/>
      </left>
      <right style="medium">
        <color rgb="FF1A6DA8"/>
      </right>
      <top style="medium">
        <color rgb="FF1A6DA8"/>
      </top>
      <bottom style="medium">
        <color rgb="FF1A6DA8"/>
      </bottom>
      <diagonal/>
    </border>
    <border>
      <left/>
      <right/>
      <top style="thin">
        <color rgb="FFB8D4EA"/>
      </top>
      <bottom style="thin">
        <color rgb="FFB8D4EA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/>
    <xf numFmtId="0" fontId="2" fillId="4" borderId="0" xfId="0" applyFont="1" applyFill="1" applyAlignment="1">
      <alignment horizontal="center" vertical="center" readingOrder="2"/>
    </xf>
    <xf numFmtId="0" fontId="3" fillId="4" borderId="0" xfId="0" applyFont="1" applyFill="1" applyAlignment="1">
      <alignment horizontal="center" vertical="center" readingOrder="2"/>
    </xf>
    <xf numFmtId="0" fontId="4" fillId="0" borderId="0" xfId="0" applyFont="1"/>
    <xf numFmtId="0" fontId="5" fillId="5" borderId="1" xfId="0" applyFont="1" applyFill="1" applyBorder="1" applyAlignment="1">
      <alignment horizontal="center" vertical="center" readingOrder="1"/>
    </xf>
    <xf numFmtId="0" fontId="4" fillId="0" borderId="2" xfId="0" applyFont="1" applyBorder="1"/>
    <xf numFmtId="0" fontId="4" fillId="0" borderId="3" xfId="0" applyFont="1" applyBorder="1"/>
    <xf numFmtId="0" fontId="6" fillId="5" borderId="4" xfId="0" applyFont="1" applyFill="1" applyBorder="1" applyAlignment="1">
      <alignment horizontal="right" vertical="center" readingOrder="2"/>
    </xf>
    <xf numFmtId="0" fontId="7" fillId="5" borderId="5" xfId="0" applyFont="1" applyFill="1" applyBorder="1" applyAlignment="1">
      <alignment horizontal="right" vertical="center" readingOrder="2"/>
    </xf>
    <xf numFmtId="0" fontId="4" fillId="0" borderId="6" xfId="0" applyFont="1" applyBorder="1"/>
    <xf numFmtId="0" fontId="8" fillId="3" borderId="0" xfId="0" applyFont="1" applyFill="1" applyAlignment="1">
      <alignment horizontal="center" vertical="center" readingOrder="2"/>
    </xf>
    <xf numFmtId="0" fontId="9" fillId="6" borderId="7" xfId="0" applyFont="1" applyFill="1" applyBorder="1" applyAlignment="1">
      <alignment horizontal="center" vertical="center" wrapText="1" readingOrder="2"/>
    </xf>
    <xf numFmtId="0" fontId="10" fillId="5" borderId="8" xfId="0" applyFont="1" applyFill="1" applyBorder="1" applyAlignment="1">
      <alignment horizontal="center" vertical="center" readingOrder="1"/>
    </xf>
    <xf numFmtId="0" fontId="11" fillId="5" borderId="4" xfId="0" applyFont="1" applyFill="1" applyBorder="1" applyAlignment="1">
      <alignment horizontal="right" vertical="center" wrapText="1" readingOrder="2"/>
    </xf>
    <xf numFmtId="3" fontId="12" fillId="5" borderId="4" xfId="0" applyNumberFormat="1" applyFont="1" applyFill="1" applyBorder="1" applyAlignment="1">
      <alignment horizontal="center" vertical="center" readingOrder="1"/>
    </xf>
    <xf numFmtId="0" fontId="13" fillId="5" borderId="4" xfId="0" applyFont="1" applyFill="1" applyBorder="1" applyAlignment="1">
      <alignment horizontal="center" vertical="center" readingOrder="2"/>
    </xf>
    <xf numFmtId="3" fontId="14" fillId="5" borderId="4" xfId="0" applyNumberFormat="1" applyFont="1" applyFill="1" applyBorder="1" applyAlignment="1">
      <alignment horizontal="center" vertical="center" readingOrder="1"/>
    </xf>
    <xf numFmtId="3" fontId="15" fillId="5" borderId="8" xfId="0" applyNumberFormat="1" applyFont="1" applyFill="1" applyBorder="1" applyAlignment="1">
      <alignment horizontal="center" vertical="center" readingOrder="1"/>
    </xf>
    <xf numFmtId="0" fontId="10" fillId="4" borderId="8" xfId="0" applyFont="1" applyFill="1" applyBorder="1" applyAlignment="1">
      <alignment horizontal="center" vertical="center" readingOrder="1"/>
    </xf>
    <xf numFmtId="0" fontId="11" fillId="0" borderId="4" xfId="0" applyFont="1" applyBorder="1" applyAlignment="1">
      <alignment horizontal="right" vertical="center" wrapText="1" readingOrder="2"/>
    </xf>
    <xf numFmtId="3" fontId="12" fillId="4" borderId="4" xfId="0" applyNumberFormat="1" applyFont="1" applyFill="1" applyBorder="1" applyAlignment="1">
      <alignment horizontal="center" vertical="center" readingOrder="1"/>
    </xf>
    <xf numFmtId="0" fontId="13" fillId="4" borderId="4" xfId="0" applyFont="1" applyFill="1" applyBorder="1" applyAlignment="1">
      <alignment horizontal="center" vertical="center" readingOrder="2"/>
    </xf>
    <xf numFmtId="3" fontId="14" fillId="4" borderId="4" xfId="0" applyNumberFormat="1" applyFont="1" applyFill="1" applyBorder="1" applyAlignment="1">
      <alignment horizontal="center" vertical="center" readingOrder="1"/>
    </xf>
    <xf numFmtId="3" fontId="15" fillId="4" borderId="8" xfId="0" applyNumberFormat="1" applyFont="1" applyFill="1" applyBorder="1" applyAlignment="1">
      <alignment horizontal="center" vertical="center" readingOrder="1"/>
    </xf>
    <xf numFmtId="0" fontId="11" fillId="4" borderId="4" xfId="0" applyFont="1" applyFill="1" applyBorder="1" applyAlignment="1">
      <alignment horizontal="right" vertical="center" wrapText="1" readingOrder="2"/>
    </xf>
    <xf numFmtId="0" fontId="16" fillId="0" borderId="0" xfId="0" applyFont="1"/>
    <xf numFmtId="0" fontId="17" fillId="7" borderId="9" xfId="0" applyFont="1" applyFill="1" applyBorder="1" applyAlignment="1">
      <alignment horizontal="center" vertical="center" readingOrder="2"/>
    </xf>
    <xf numFmtId="0" fontId="4" fillId="0" borderId="10" xfId="0" applyFont="1" applyBorder="1"/>
    <xf numFmtId="0" fontId="4" fillId="0" borderId="11" xfId="0" applyFont="1" applyBorder="1"/>
    <xf numFmtId="164" fontId="18" fillId="8" borderId="12" xfId="0" applyNumberFormat="1" applyFont="1" applyFill="1" applyBorder="1" applyAlignment="1">
      <alignment horizontal="center" vertical="center" readingOrder="1"/>
    </xf>
    <xf numFmtId="0" fontId="9" fillId="9" borderId="0" xfId="0" applyFont="1" applyFill="1" applyAlignment="1">
      <alignment horizontal="center" vertical="center" readingOrder="2"/>
    </xf>
    <xf numFmtId="0" fontId="19" fillId="5" borderId="5" xfId="0" applyFont="1" applyFill="1" applyBorder="1" applyAlignment="1">
      <alignment horizontal="right" vertical="center" wrapText="1" readingOrder="2"/>
    </xf>
    <xf numFmtId="0" fontId="4" fillId="0" borderId="13" xfId="0" applyFont="1" applyBorder="1"/>
    <xf numFmtId="0" fontId="19" fillId="10" borderId="5" xfId="0" applyFont="1" applyFill="1" applyBorder="1" applyAlignment="1">
      <alignment horizontal="right" vertical="center" wrapText="1" readingOrder="2"/>
    </xf>
    <xf numFmtId="0" fontId="20" fillId="5" borderId="5" xfId="0" applyFont="1" applyFill="1" applyBorder="1" applyAlignment="1">
      <alignment horizontal="right" vertical="center" wrapText="1" readingOrder="2"/>
    </xf>
    <xf numFmtId="0" fontId="9" fillId="6" borderId="0" xfId="0" applyFont="1" applyFill="1" applyAlignment="1">
      <alignment horizontal="center" vertical="center" readingOrder="2"/>
    </xf>
    <xf numFmtId="0" fontId="21" fillId="11" borderId="14" xfId="0" applyFont="1" applyFill="1" applyBorder="1" applyAlignment="1">
      <alignment horizontal="center" vertical="center" readingOrder="2"/>
    </xf>
    <xf numFmtId="0" fontId="4" fillId="0" borderId="15" xfId="0" applyFont="1" applyBorder="1"/>
    <xf numFmtId="0" fontId="4" fillId="0" borderId="16" xfId="0" applyFont="1" applyBorder="1"/>
    <xf numFmtId="0" fontId="22" fillId="4" borderId="14" xfId="0" applyFont="1" applyFill="1" applyBorder="1" applyAlignment="1">
      <alignment horizontal="center" vertical="center" readingOrder="2"/>
    </xf>
    <xf numFmtId="0" fontId="23" fillId="4" borderId="17" xfId="0" applyFont="1" applyFill="1" applyBorder="1" applyAlignment="1">
      <alignment horizontal="center" vertical="center" readingOrder="1"/>
    </xf>
    <xf numFmtId="0" fontId="4" fillId="0" borderId="18" xfId="0" applyFont="1" applyBorder="1"/>
    <xf numFmtId="0" fontId="4" fillId="0" borderId="19" xfId="0" applyFont="1" applyBorder="1"/>
    <xf numFmtId="0" fontId="1" fillId="8" borderId="0" xfId="0" applyFont="1" applyFill="1"/>
    <xf numFmtId="0" fontId="16" fillId="5" borderId="0" xfId="0" applyFont="1" applyFill="1"/>
    <xf numFmtId="0" fontId="24" fillId="5" borderId="0" xfId="0" applyFont="1" applyFill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1</xdr:row>
      <xdr:rowOff>28575</xdr:rowOff>
    </xdr:from>
    <xdr:ext cx="1333500" cy="552450"/>
    <xdr:pic>
      <xdr:nvPicPr>
        <xdr:cNvPr id="2" name="image1.png" descr="Picture" title="Image">
          <a:extLst>
            <a:ext uri="{FF2B5EF4-FFF2-40B4-BE49-F238E27FC236}">
              <a16:creationId xmlns:a16="http://schemas.microsoft.com/office/drawing/2014/main" id="{0360CBB9-1414-4394-97C5-7F214789CA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22541850" y="211455"/>
          <a:ext cx="13335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0DDD-AC69-462F-9D69-5C4686158CF9}">
  <dimension ref="A1:I989"/>
  <sheetViews>
    <sheetView rightToLeft="1" tabSelected="1" workbookViewId="0">
      <selection activeCell="C10" sqref="C10"/>
    </sheetView>
  </sheetViews>
  <sheetFormatPr defaultColWidth="14.44140625" defaultRowHeight="15.75" customHeight="1" x14ac:dyDescent="0.3"/>
  <cols>
    <col min="1" max="1" width="2.44140625" customWidth="1"/>
    <col min="2" max="2" width="8.33203125" customWidth="1"/>
    <col min="3" max="3" width="62" customWidth="1"/>
    <col min="4" max="4" width="11" customWidth="1"/>
    <col min="5" max="5" width="13" customWidth="1"/>
    <col min="6" max="6" width="17" customWidth="1"/>
    <col min="7" max="7" width="19" customWidth="1"/>
    <col min="8" max="26" width="8.6640625" customWidth="1"/>
  </cols>
  <sheetData>
    <row r="1" spans="1:9" ht="14.4" x14ac:dyDescent="0.3">
      <c r="A1" s="1"/>
      <c r="B1" s="2"/>
      <c r="C1" s="3"/>
      <c r="D1" s="4"/>
      <c r="E1" s="4"/>
      <c r="F1" s="4"/>
      <c r="G1" s="4"/>
    </row>
    <row r="2" spans="1:9" ht="57.75" customHeight="1" x14ac:dyDescent="0.3">
      <c r="A2" s="5"/>
      <c r="B2" s="6"/>
      <c r="C2" s="7" t="s">
        <v>0</v>
      </c>
      <c r="D2" s="8"/>
      <c r="E2" s="8"/>
      <c r="F2" s="8"/>
      <c r="G2" s="8"/>
    </row>
    <row r="3" spans="1:9" ht="19.5" customHeight="1" x14ac:dyDescent="0.3">
      <c r="B3" s="9" t="s">
        <v>1</v>
      </c>
      <c r="C3" s="10"/>
      <c r="D3" s="10"/>
      <c r="E3" s="10"/>
      <c r="F3" s="10"/>
      <c r="G3" s="11"/>
    </row>
    <row r="5" spans="1:9" ht="21.75" customHeight="1" x14ac:dyDescent="0.3">
      <c r="B5" s="12" t="s">
        <v>2</v>
      </c>
      <c r="C5" s="13" t="s">
        <v>3</v>
      </c>
      <c r="D5" s="14"/>
      <c r="E5" s="12" t="s">
        <v>4</v>
      </c>
      <c r="F5" s="13" t="s">
        <v>5</v>
      </c>
      <c r="G5" s="14"/>
    </row>
    <row r="6" spans="1:9" ht="21.75" customHeight="1" x14ac:dyDescent="0.3">
      <c r="B6" s="12" t="s">
        <v>6</v>
      </c>
      <c r="C6" s="13" t="s">
        <v>7</v>
      </c>
      <c r="D6" s="14"/>
      <c r="E6" s="12" t="s">
        <v>8</v>
      </c>
      <c r="F6" s="13" t="s">
        <v>9</v>
      </c>
      <c r="G6" s="14"/>
    </row>
    <row r="8" spans="1:9" ht="27.75" customHeight="1" thickBot="1" x14ac:dyDescent="0.35">
      <c r="B8" s="15" t="s">
        <v>10</v>
      </c>
      <c r="C8" s="8"/>
      <c r="D8" s="8"/>
      <c r="E8" s="8"/>
      <c r="F8" s="8"/>
      <c r="G8" s="8"/>
    </row>
    <row r="9" spans="1:9" ht="30" customHeight="1" thickBot="1" x14ac:dyDescent="0.35"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</row>
    <row r="10" spans="1:9" ht="109.2" x14ac:dyDescent="0.3">
      <c r="A10" s="5"/>
      <c r="B10" s="17">
        <v>1</v>
      </c>
      <c r="C10" s="18" t="s">
        <v>17</v>
      </c>
      <c r="D10" s="19">
        <v>1</v>
      </c>
      <c r="E10" s="20" t="s">
        <v>18</v>
      </c>
      <c r="F10" s="21">
        <v>35000</v>
      </c>
      <c r="G10" s="22">
        <f t="shared" ref="G10:G16" si="0">IF(OR(D10="",F10="",D10="—",F10="يُحدد لاحقاً"),0,D10*F10)</f>
        <v>35000</v>
      </c>
    </row>
    <row r="11" spans="1:9" ht="46.8" x14ac:dyDescent="0.3">
      <c r="A11" s="5"/>
      <c r="B11" s="23">
        <v>2</v>
      </c>
      <c r="C11" s="24" t="s">
        <v>19</v>
      </c>
      <c r="D11" s="25">
        <v>1</v>
      </c>
      <c r="E11" s="26" t="s">
        <v>18</v>
      </c>
      <c r="F11" s="27">
        <v>12000</v>
      </c>
      <c r="G11" s="28">
        <f t="shared" si="0"/>
        <v>12000</v>
      </c>
    </row>
    <row r="12" spans="1:9" ht="46.8" x14ac:dyDescent="0.3">
      <c r="A12" s="5"/>
      <c r="B12" s="17">
        <v>3</v>
      </c>
      <c r="C12" s="18" t="s">
        <v>20</v>
      </c>
      <c r="D12" s="19">
        <v>1</v>
      </c>
      <c r="E12" s="20" t="s">
        <v>18</v>
      </c>
      <c r="F12" s="21">
        <v>8500</v>
      </c>
      <c r="G12" s="22">
        <f t="shared" si="0"/>
        <v>8500</v>
      </c>
    </row>
    <row r="13" spans="1:9" ht="31.2" x14ac:dyDescent="0.3">
      <c r="A13" s="5"/>
      <c r="B13" s="17">
        <v>4</v>
      </c>
      <c r="C13" s="29" t="s">
        <v>21</v>
      </c>
      <c r="D13" s="25">
        <v>35</v>
      </c>
      <c r="E13" s="26" t="s">
        <v>22</v>
      </c>
      <c r="F13" s="27">
        <v>700</v>
      </c>
      <c r="G13" s="28">
        <f t="shared" si="0"/>
        <v>24500</v>
      </c>
      <c r="I13" s="30"/>
    </row>
    <row r="14" spans="1:9" ht="46.8" x14ac:dyDescent="0.3">
      <c r="A14" s="5"/>
      <c r="B14" s="23">
        <v>5</v>
      </c>
      <c r="C14" s="18" t="s">
        <v>23</v>
      </c>
      <c r="D14" s="19">
        <v>154</v>
      </c>
      <c r="E14" s="20" t="s">
        <v>22</v>
      </c>
      <c r="F14" s="21">
        <v>950</v>
      </c>
      <c r="G14" s="22">
        <f t="shared" si="0"/>
        <v>146300</v>
      </c>
    </row>
    <row r="15" spans="1:9" ht="31.2" x14ac:dyDescent="0.3">
      <c r="A15" s="5"/>
      <c r="B15" s="17">
        <v>6</v>
      </c>
      <c r="C15" s="29" t="s">
        <v>24</v>
      </c>
      <c r="D15" s="25">
        <v>100</v>
      </c>
      <c r="E15" s="26" t="s">
        <v>22</v>
      </c>
      <c r="F15" s="27">
        <v>250</v>
      </c>
      <c r="G15" s="28">
        <f t="shared" si="0"/>
        <v>25000</v>
      </c>
    </row>
    <row r="16" spans="1:9" ht="63" thickBot="1" x14ac:dyDescent="0.35">
      <c r="A16" s="5"/>
      <c r="B16" s="23">
        <v>7</v>
      </c>
      <c r="C16" s="18" t="s">
        <v>25</v>
      </c>
      <c r="D16" s="19">
        <v>27</v>
      </c>
      <c r="E16" s="20" t="s">
        <v>22</v>
      </c>
      <c r="F16" s="21">
        <v>950</v>
      </c>
      <c r="G16" s="22">
        <f t="shared" si="0"/>
        <v>25650</v>
      </c>
    </row>
    <row r="17" spans="1:7" ht="31.5" customHeight="1" thickBot="1" x14ac:dyDescent="0.35">
      <c r="B17" s="31" t="s">
        <v>26</v>
      </c>
      <c r="C17" s="32"/>
      <c r="D17" s="32"/>
      <c r="E17" s="32"/>
      <c r="F17" s="33"/>
      <c r="G17" s="34">
        <f>SUM(G10:G16)</f>
        <v>276950</v>
      </c>
    </row>
    <row r="20" spans="1:7" ht="24" customHeight="1" x14ac:dyDescent="0.3">
      <c r="B20" s="35" t="s">
        <v>27</v>
      </c>
      <c r="C20" s="8"/>
      <c r="D20" s="8"/>
      <c r="E20" s="35" t="s">
        <v>28</v>
      </c>
      <c r="F20" s="8"/>
      <c r="G20" s="8"/>
    </row>
    <row r="21" spans="1:7" ht="18" customHeight="1" x14ac:dyDescent="0.3">
      <c r="B21" s="36" t="s">
        <v>29</v>
      </c>
      <c r="C21" s="37"/>
      <c r="D21" s="14"/>
      <c r="E21" s="36" t="s">
        <v>30</v>
      </c>
      <c r="F21" s="37"/>
      <c r="G21" s="14"/>
    </row>
    <row r="22" spans="1:7" ht="18" customHeight="1" x14ac:dyDescent="0.3">
      <c r="B22" s="36" t="s">
        <v>31</v>
      </c>
      <c r="C22" s="37"/>
      <c r="D22" s="14"/>
      <c r="E22" s="38" t="s">
        <v>32</v>
      </c>
      <c r="F22" s="37"/>
      <c r="G22" s="14"/>
    </row>
    <row r="23" spans="1:7" ht="18" customHeight="1" x14ac:dyDescent="0.3">
      <c r="B23" s="36" t="s">
        <v>33</v>
      </c>
      <c r="C23" s="37"/>
      <c r="D23" s="14"/>
      <c r="E23" s="36" t="s">
        <v>34</v>
      </c>
      <c r="F23" s="37"/>
      <c r="G23" s="14"/>
    </row>
    <row r="24" spans="1:7" ht="19.5" customHeight="1" x14ac:dyDescent="0.3">
      <c r="B24" s="39"/>
      <c r="C24" s="37"/>
      <c r="D24" s="14"/>
      <c r="E24" s="36" t="s">
        <v>35</v>
      </c>
      <c r="F24" s="37"/>
      <c r="G24" s="14"/>
    </row>
    <row r="27" spans="1:7" ht="24" customHeight="1" x14ac:dyDescent="0.3">
      <c r="B27" s="40" t="s">
        <v>36</v>
      </c>
      <c r="C27" s="8"/>
      <c r="D27" s="8"/>
      <c r="E27" s="8"/>
      <c r="F27" s="8"/>
      <c r="G27" s="8"/>
    </row>
    <row r="28" spans="1:7" ht="21.75" customHeight="1" x14ac:dyDescent="0.3">
      <c r="B28" s="41" t="s">
        <v>37</v>
      </c>
      <c r="C28" s="42"/>
      <c r="D28" s="43"/>
      <c r="E28" s="41" t="s">
        <v>38</v>
      </c>
      <c r="F28" s="42"/>
      <c r="G28" s="43"/>
    </row>
    <row r="29" spans="1:7" ht="25.5" customHeight="1" x14ac:dyDescent="0.3">
      <c r="B29" s="44" t="s">
        <v>39</v>
      </c>
      <c r="C29" s="42"/>
      <c r="D29" s="43"/>
      <c r="E29" s="44" t="s">
        <v>40</v>
      </c>
      <c r="F29" s="42"/>
      <c r="G29" s="43"/>
    </row>
    <row r="30" spans="1:7" ht="21.75" customHeight="1" x14ac:dyDescent="0.3">
      <c r="B30" s="45" t="s">
        <v>41</v>
      </c>
      <c r="C30" s="46"/>
      <c r="D30" s="47"/>
      <c r="E30" s="45" t="s">
        <v>41</v>
      </c>
      <c r="F30" s="46"/>
      <c r="G30" s="47"/>
    </row>
    <row r="31" spans="1:7" ht="14.25" customHeight="1" x14ac:dyDescent="0.3"/>
    <row r="32" spans="1:7" ht="14.4" x14ac:dyDescent="0.3">
      <c r="A32" s="48"/>
      <c r="B32" s="48"/>
      <c r="C32" s="48"/>
      <c r="D32" s="48"/>
      <c r="E32" s="48"/>
      <c r="F32" s="48"/>
      <c r="G32" s="48"/>
    </row>
    <row r="33" spans="1:7" ht="14.4" x14ac:dyDescent="0.3">
      <c r="A33" s="49"/>
      <c r="B33" s="50" t="s">
        <v>42</v>
      </c>
      <c r="C33" s="8"/>
      <c r="D33" s="8"/>
      <c r="E33" s="8"/>
      <c r="F33" s="8"/>
      <c r="G33" s="8"/>
    </row>
    <row r="34" spans="1:7" ht="14.25" customHeight="1" x14ac:dyDescent="0.3"/>
    <row r="35" spans="1:7" ht="14.25" customHeight="1" x14ac:dyDescent="0.3"/>
    <row r="36" spans="1:7" ht="14.25" customHeight="1" x14ac:dyDescent="0.3"/>
    <row r="37" spans="1:7" ht="14.25" customHeight="1" x14ac:dyDescent="0.3"/>
    <row r="38" spans="1:7" ht="14.25" customHeight="1" x14ac:dyDescent="0.3"/>
    <row r="39" spans="1:7" ht="14.25" customHeight="1" x14ac:dyDescent="0.3"/>
    <row r="40" spans="1:7" ht="14.25" customHeight="1" x14ac:dyDescent="0.3"/>
    <row r="41" spans="1:7" ht="14.25" customHeight="1" x14ac:dyDescent="0.3"/>
    <row r="42" spans="1:7" ht="14.25" customHeight="1" x14ac:dyDescent="0.3"/>
    <row r="43" spans="1:7" ht="14.25" customHeight="1" x14ac:dyDescent="0.3"/>
    <row r="44" spans="1:7" ht="14.25" customHeight="1" x14ac:dyDescent="0.3"/>
    <row r="45" spans="1:7" ht="14.25" customHeight="1" x14ac:dyDescent="0.3"/>
    <row r="46" spans="1:7" ht="14.25" customHeight="1" x14ac:dyDescent="0.3"/>
    <row r="47" spans="1:7" ht="14.25" customHeight="1" x14ac:dyDescent="0.3"/>
    <row r="48" spans="1:7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</sheetData>
  <mergeCells count="27">
    <mergeCell ref="B33:G33"/>
    <mergeCell ref="B27:G27"/>
    <mergeCell ref="B28:D28"/>
    <mergeCell ref="E28:G28"/>
    <mergeCell ref="B29:D29"/>
    <mergeCell ref="E29:G29"/>
    <mergeCell ref="B30:D30"/>
    <mergeCell ref="E30:G30"/>
    <mergeCell ref="B22:D22"/>
    <mergeCell ref="E22:G22"/>
    <mergeCell ref="B23:D23"/>
    <mergeCell ref="E23:G23"/>
    <mergeCell ref="B24:D24"/>
    <mergeCell ref="E24:G24"/>
    <mergeCell ref="B8:G8"/>
    <mergeCell ref="B17:F17"/>
    <mergeCell ref="B20:D20"/>
    <mergeCell ref="E20:G20"/>
    <mergeCell ref="B21:D21"/>
    <mergeCell ref="E21:G21"/>
    <mergeCell ref="C1:G1"/>
    <mergeCell ref="C2:G2"/>
    <mergeCell ref="B3:G3"/>
    <mergeCell ref="C5:D5"/>
    <mergeCell ref="F5:G5"/>
    <mergeCell ref="C6:D6"/>
    <mergeCell ref="F6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Kamal</dc:creator>
  <cp:lastModifiedBy>Amr Kamal</cp:lastModifiedBy>
  <dcterms:created xsi:type="dcterms:W3CDTF">2026-10-02T11:32:19Z</dcterms:created>
  <dcterms:modified xsi:type="dcterms:W3CDTF">2026-10-02T11:37:24Z</dcterms:modified>
</cp:coreProperties>
</file>